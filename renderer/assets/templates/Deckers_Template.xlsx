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imess\greenland-imes\sources\storage\app\templates\"/>
    </mc:Choice>
  </mc:AlternateContent>
  <xr:revisionPtr revIDLastSave="0" documentId="13_ncr:1_{7949FCF9-AE15-46A9-B4B4-C78E7BAFA741}" xr6:coauthVersionLast="47" xr6:coauthVersionMax="47" xr10:uidLastSave="{00000000-0000-0000-0000-000000000000}"/>
  <bookViews>
    <workbookView xWindow="-28920" yWindow="-1080" windowWidth="29040" windowHeight="15840" xr2:uid="{00000000-000D-0000-FFFF-FFFF00000000}"/>
  </bookViews>
  <sheets>
    <sheet name="1" sheetId="1" r:id="rId1"/>
  </sheets>
  <externalReferences>
    <externalReference r:id="rId2"/>
  </externalReferences>
  <definedNames>
    <definedName name="ASTM" localSheetId="0">[1]Sheet2!#REF!</definedName>
    <definedName name="ASTM">[1]Sheet2!#REF!</definedName>
    <definedName name="TIME" localSheetId="0">[1]Sheet2!#REF!</definedName>
    <definedName name="TIME">[1]Sheet2!#REF!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5" i="1" l="1"/>
  <c r="F33" i="1" s="1"/>
  <c r="D24" i="1"/>
  <c r="F18" i="1" s="1"/>
  <c r="J18" i="1" s="1"/>
  <c r="F34" i="1"/>
  <c r="F32" i="1"/>
  <c r="F31" i="1"/>
  <c r="F19" i="1" l="1"/>
  <c r="J19" i="1" s="1"/>
  <c r="D26" i="1"/>
  <c r="K35" i="1" s="1"/>
  <c r="F23" i="1"/>
  <c r="J23" i="1" s="1"/>
  <c r="F22" i="1"/>
  <c r="J22" i="1" s="1"/>
  <c r="F21" i="1"/>
  <c r="J21" i="1" s="1"/>
  <c r="F20" i="1"/>
  <c r="J20" i="1" s="1"/>
  <c r="K24" i="1" l="1"/>
</calcChain>
</file>

<file path=xl/sharedStrings.xml><?xml version="1.0" encoding="utf-8"?>
<sst xmlns="http://schemas.openxmlformats.org/spreadsheetml/2006/main" count="48" uniqueCount="46">
  <si>
    <t>Certificate of Conformity - Leather</t>
  </si>
  <si>
    <t>Incoming Material Inspection</t>
  </si>
  <si>
    <t xml:space="preserve">It is required that all leather suppliers provide a certificate of conformance for every material-color supplied                 </t>
  </si>
  <si>
    <t>to facilities responsible for manufacturing products for any Deckers Outdoor brand.</t>
  </si>
  <si>
    <t>FACTORY:</t>
  </si>
  <si>
    <t>Factory Purchase Order No.</t>
  </si>
  <si>
    <t>TANNERY:</t>
  </si>
  <si>
    <t>Shipping Document No.</t>
  </si>
  <si>
    <t>Tannery Lot No.</t>
  </si>
  <si>
    <t>Factory PO quantity (sf):</t>
  </si>
  <si>
    <t>DMCI #</t>
  </si>
  <si>
    <t>Material-Color:</t>
  </si>
  <si>
    <t>PO date:</t>
  </si>
  <si>
    <t>cargo receipt date:</t>
  </si>
  <si>
    <t>I.a  SATRA grade mix for this shipment (by material-color):</t>
  </si>
  <si>
    <t>C/V grade volume cannot exceed A grade volume</t>
  </si>
  <si>
    <t>D/VI grade volume cannot exceed 10% of total lot footage.</t>
  </si>
  <si>
    <t>Grade/Satra</t>
  </si>
  <si>
    <t>Footage (sf)</t>
  </si>
  <si>
    <t>Percentage</t>
  </si>
  <si>
    <t>Coefficient</t>
  </si>
  <si>
    <t>Weighed Average:</t>
  </si>
  <si>
    <t>A / I</t>
  </si>
  <si>
    <t>A / II</t>
  </si>
  <si>
    <t>B / III</t>
  </si>
  <si>
    <t>B / IV</t>
  </si>
  <si>
    <t>C / V</t>
  </si>
  <si>
    <t>D / VI</t>
  </si>
  <si>
    <t>Total Accepted SF:</t>
  </si>
  <si>
    <t>SATRA Leather Coefficient:</t>
  </si>
  <si>
    <t>Total Rejects SF:</t>
  </si>
  <si>
    <t>Total Shipment SF:</t>
  </si>
  <si>
    <t>I.b. Rejects summary</t>
  </si>
  <si>
    <t>Reason</t>
  </si>
  <si>
    <t>Short Description of Rejected Reason</t>
  </si>
  <si>
    <t>Color</t>
  </si>
  <si>
    <t>Grading</t>
  </si>
  <si>
    <t>level differnces</t>
  </si>
  <si>
    <t>Character</t>
  </si>
  <si>
    <t>Other</t>
  </si>
  <si>
    <t>rejection rate:</t>
  </si>
  <si>
    <t>II.  Attached is a complete Deckers material performance standard physical test report for this lot.</t>
  </si>
  <si>
    <t>DROP DOWN MENUs</t>
  </si>
  <si>
    <t xml:space="preserve">QC Supervisor Signature: </t>
  </si>
  <si>
    <t>Inspection Date:</t>
  </si>
  <si>
    <t xml:space="preserve">Green Land 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</si>
</sst>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.0"/>
    <numFmt numFmtId="177" formatCode="0.0%"/>
  </numFmts>
  <fonts count="21">
    <font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sz val="10"/>
      <name val="Times New Roman"/>
      <family val="1"/>
    </font>
    <font>
      <sz val="14"/>
      <name val="Times New Roman"/>
      <family val="1"/>
    </font>
    <font>
      <sz val="14"/>
      <name val="Arial"/>
      <family val="2"/>
    </font>
    <font>
      <b/>
      <sz val="14"/>
      <name val="Times New Roman"/>
      <family val="1"/>
    </font>
    <font>
      <sz val="11"/>
      <name val="Times New Roman"/>
      <family val="1"/>
    </font>
    <font>
      <sz val="9"/>
      <name val="Times New Roman"/>
      <family val="1"/>
    </font>
    <font>
      <i/>
      <sz val="14"/>
      <name val="Times New Roman"/>
      <family val="1"/>
    </font>
    <font>
      <sz val="12"/>
      <name val="Times New Roman"/>
      <family val="1"/>
    </font>
    <font>
      <sz val="14"/>
      <name val="FangSong"/>
      <family val="3"/>
      <charset val="134"/>
    </font>
    <font>
      <sz val="14"/>
      <name val="宋体"/>
      <family val="3"/>
      <charset val="134"/>
    </font>
    <font>
      <sz val="11"/>
      <name val="Arial"/>
      <family val="2"/>
    </font>
    <font>
      <b/>
      <i/>
      <sz val="14"/>
      <name val="Times New Roman"/>
      <family val="1"/>
    </font>
    <font>
      <sz val="12"/>
      <name val="Arial"/>
      <family val="2"/>
    </font>
    <font>
      <b/>
      <sz val="10"/>
      <name val="Times New Roman"/>
      <family val="1"/>
    </font>
    <font>
      <b/>
      <sz val="10"/>
      <name val="Arial"/>
      <family val="2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4">
    <xf numFmtId="0" fontId="0" fillId="0" borderId="0" xfId="0"/>
    <xf numFmtId="0" fontId="0" fillId="2" borderId="0" xfId="0" applyFill="1" applyProtection="1">
      <protection hidden="1"/>
    </xf>
    <xf numFmtId="0" fontId="0" fillId="0" borderId="0" xfId="0" applyProtection="1"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2" borderId="0" xfId="0" applyFill="1" applyAlignment="1" applyProtection="1">
      <alignment horizontal="right"/>
      <protection hidden="1"/>
    </xf>
    <xf numFmtId="0" fontId="6" fillId="2" borderId="0" xfId="0" applyFont="1" applyFill="1" applyProtection="1">
      <protection hidden="1"/>
    </xf>
    <xf numFmtId="0" fontId="7" fillId="0" borderId="0" xfId="0" applyFont="1" applyProtection="1">
      <protection hidden="1"/>
    </xf>
    <xf numFmtId="0" fontId="7" fillId="2" borderId="0" xfId="0" applyFont="1" applyFill="1" applyProtection="1">
      <protection hidden="1"/>
    </xf>
    <xf numFmtId="0" fontId="6" fillId="2" borderId="0" xfId="0" applyFont="1" applyFill="1" applyAlignment="1" applyProtection="1">
      <alignment horizontal="right"/>
      <protection hidden="1"/>
    </xf>
    <xf numFmtId="0" fontId="6" fillId="3" borderId="2" xfId="0" applyFont="1" applyFill="1" applyBorder="1" applyAlignment="1" applyProtection="1">
      <alignment horizontal="left"/>
      <protection locked="0" hidden="1"/>
    </xf>
    <xf numFmtId="0" fontId="6" fillId="3" borderId="4" xfId="0" applyFont="1" applyFill="1" applyBorder="1" applyAlignment="1" applyProtection="1">
      <alignment horizontal="left"/>
      <protection locked="0" hidden="1"/>
    </xf>
    <xf numFmtId="0" fontId="6" fillId="0" borderId="0" xfId="0" applyFont="1" applyAlignment="1" applyProtection="1">
      <alignment horizontal="left"/>
      <protection hidden="1"/>
    </xf>
    <xf numFmtId="0" fontId="6" fillId="0" borderId="0" xfId="0" applyFont="1" applyAlignment="1" applyProtection="1">
      <alignment horizontal="right"/>
      <protection hidden="1"/>
    </xf>
    <xf numFmtId="14" fontId="6" fillId="3" borderId="6" xfId="0" applyNumberFormat="1" applyFont="1" applyFill="1" applyBorder="1" applyAlignment="1" applyProtection="1">
      <alignment horizontal="center" vertical="center"/>
      <protection locked="0" hidden="1"/>
    </xf>
    <xf numFmtId="0" fontId="6" fillId="0" borderId="0" xfId="0" applyFont="1" applyAlignment="1" applyProtection="1">
      <alignment horizontal="right" vertical="center"/>
      <protection hidden="1"/>
    </xf>
    <xf numFmtId="0" fontId="8" fillId="2" borderId="0" xfId="0" applyFont="1" applyFill="1" applyProtection="1">
      <protection hidden="1"/>
    </xf>
    <xf numFmtId="0" fontId="8" fillId="2" borderId="0" xfId="0" applyFont="1" applyFill="1" applyAlignment="1" applyProtection="1">
      <alignment horizontal="center"/>
      <protection hidden="1"/>
    </xf>
    <xf numFmtId="0" fontId="8" fillId="2" borderId="0" xfId="0" applyFont="1" applyFill="1" applyAlignment="1" applyProtection="1">
      <alignment horizontal="right"/>
      <protection hidden="1"/>
    </xf>
    <xf numFmtId="0" fontId="6" fillId="0" borderId="0" xfId="0" applyFont="1" applyProtection="1">
      <protection hidden="1"/>
    </xf>
    <xf numFmtId="0" fontId="9" fillId="0" borderId="0" xfId="0" applyFont="1" applyAlignment="1" applyProtection="1">
      <alignment horizontal="center"/>
      <protection hidden="1"/>
    </xf>
    <xf numFmtId="0" fontId="10" fillId="0" borderId="0" xfId="0" applyFont="1" applyAlignment="1" applyProtection="1">
      <alignment horizontal="center"/>
      <protection hidden="1"/>
    </xf>
    <xf numFmtId="0" fontId="9" fillId="0" borderId="0" xfId="0" applyFont="1" applyProtection="1">
      <protection hidden="1"/>
    </xf>
    <xf numFmtId="0" fontId="12" fillId="0" borderId="0" xfId="0" applyFont="1" applyAlignment="1" applyProtection="1">
      <alignment horizontal="center"/>
      <protection hidden="1"/>
    </xf>
    <xf numFmtId="0" fontId="12" fillId="0" borderId="0" xfId="0" applyFont="1" applyProtection="1">
      <protection hidden="1"/>
    </xf>
    <xf numFmtId="0" fontId="6" fillId="2" borderId="0" xfId="0" applyFont="1" applyFill="1" applyAlignment="1" applyProtection="1">
      <alignment horizontal="left"/>
      <protection hidden="1"/>
    </xf>
    <xf numFmtId="177" fontId="8" fillId="2" borderId="0" xfId="1" applyNumberFormat="1" applyFont="1" applyFill="1" applyBorder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/>
      <protection hidden="1"/>
    </xf>
    <xf numFmtId="4" fontId="8" fillId="0" borderId="0" xfId="0" applyNumberFormat="1" applyFont="1" applyAlignment="1" applyProtection="1">
      <alignment horizontal="center"/>
      <protection hidden="1"/>
    </xf>
    <xf numFmtId="177" fontId="8" fillId="2" borderId="0" xfId="1" applyNumberFormat="1" applyFont="1" applyFill="1" applyBorder="1" applyAlignment="1" applyProtection="1">
      <alignment horizontal="right"/>
      <protection hidden="1"/>
    </xf>
    <xf numFmtId="0" fontId="15" fillId="0" borderId="0" xfId="0" applyFont="1" applyAlignment="1" applyProtection="1">
      <alignment horizontal="center"/>
      <protection hidden="1"/>
    </xf>
    <xf numFmtId="0" fontId="15" fillId="0" borderId="0" xfId="0" applyFont="1" applyProtection="1">
      <protection hidden="1"/>
    </xf>
    <xf numFmtId="0" fontId="16" fillId="2" borderId="0" xfId="0" applyFont="1" applyFill="1" applyProtection="1">
      <protection hidden="1"/>
    </xf>
    <xf numFmtId="0" fontId="11" fillId="0" borderId="0" xfId="0" applyFont="1" applyProtection="1">
      <protection hidden="1"/>
    </xf>
    <xf numFmtId="0" fontId="11" fillId="2" borderId="0" xfId="0" applyFont="1" applyFill="1" applyProtection="1">
      <protection hidden="1"/>
    </xf>
    <xf numFmtId="0" fontId="17" fillId="0" borderId="0" xfId="0" applyFont="1" applyAlignment="1" applyProtection="1">
      <alignment horizontal="center"/>
      <protection hidden="1"/>
    </xf>
    <xf numFmtId="0" fontId="17" fillId="0" borderId="0" xfId="0" applyFont="1" applyProtection="1">
      <protection hidden="1"/>
    </xf>
    <xf numFmtId="0" fontId="18" fillId="2" borderId="9" xfId="0" applyFont="1" applyFill="1" applyBorder="1" applyAlignment="1" applyProtection="1">
      <alignment horizontal="left" vertical="center"/>
      <protection hidden="1"/>
    </xf>
    <xf numFmtId="0" fontId="0" fillId="0" borderId="9" xfId="0" applyBorder="1" applyAlignment="1" applyProtection="1">
      <alignment vertical="center"/>
      <protection hidden="1"/>
    </xf>
    <xf numFmtId="0" fontId="19" fillId="2" borderId="9" xfId="0" applyFont="1" applyFill="1" applyBorder="1" applyAlignment="1" applyProtection="1">
      <alignment vertical="center"/>
      <protection hidden="1"/>
    </xf>
    <xf numFmtId="0" fontId="0" fillId="2" borderId="9" xfId="0" applyFill="1" applyBorder="1" applyAlignment="1" applyProtection="1">
      <alignment vertical="center"/>
      <protection hidden="1"/>
    </xf>
    <xf numFmtId="0" fontId="0" fillId="0" borderId="0" xfId="0" applyAlignment="1" applyProtection="1">
      <alignment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0" fontId="2" fillId="0" borderId="0" xfId="0" applyFont="1" applyAlignment="1" applyProtection="1">
      <alignment horizontal="center" vertical="center"/>
      <protection hidden="1"/>
    </xf>
    <xf numFmtId="0" fontId="4" fillId="2" borderId="0" xfId="0" applyFont="1" applyFill="1" applyProtection="1">
      <protection hidden="1"/>
    </xf>
    <xf numFmtId="0" fontId="2" fillId="0" borderId="2" xfId="0" applyFont="1" applyBorder="1" applyAlignment="1" applyProtection="1">
      <alignment horizontal="center"/>
      <protection hidden="1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6" fillId="3" borderId="2" xfId="0" applyFont="1" applyFill="1" applyBorder="1" applyAlignment="1" applyProtection="1">
      <alignment horizontal="left"/>
      <protection locked="0" hidden="1"/>
    </xf>
    <xf numFmtId="0" fontId="6" fillId="3" borderId="3" xfId="0" applyFont="1" applyFill="1" applyBorder="1" applyAlignment="1" applyProtection="1">
      <alignment horizontal="left"/>
      <protection locked="0" hidden="1"/>
    </xf>
    <xf numFmtId="0" fontId="6" fillId="3" borderId="4" xfId="0" applyFont="1" applyFill="1" applyBorder="1" applyAlignment="1" applyProtection="1">
      <alignment horizontal="left"/>
      <protection locked="0" hidden="1"/>
    </xf>
    <xf numFmtId="15" fontId="7" fillId="3" borderId="2" xfId="0" applyNumberFormat="1" applyFont="1" applyFill="1" applyBorder="1" applyAlignment="1" applyProtection="1">
      <alignment horizontal="center"/>
      <protection locked="0" hidden="1"/>
    </xf>
    <xf numFmtId="15" fontId="7" fillId="3" borderId="4" xfId="0" applyNumberFormat="1" applyFont="1" applyFill="1" applyBorder="1" applyAlignment="1" applyProtection="1">
      <alignment horizontal="center"/>
      <protection locked="0" hidden="1"/>
    </xf>
    <xf numFmtId="4" fontId="8" fillId="0" borderId="2" xfId="0" applyNumberFormat="1" applyFont="1" applyBorder="1" applyAlignment="1" applyProtection="1">
      <alignment horizontal="center"/>
      <protection hidden="1"/>
    </xf>
    <xf numFmtId="4" fontId="8" fillId="0" borderId="4" xfId="0" applyNumberFormat="1" applyFont="1" applyBorder="1" applyAlignment="1" applyProtection="1">
      <alignment horizontal="center"/>
      <protection hidden="1"/>
    </xf>
    <xf numFmtId="177" fontId="6" fillId="0" borderId="2" xfId="1" applyNumberFormat="1" applyFont="1" applyBorder="1" applyAlignment="1" applyProtection="1">
      <alignment horizontal="center"/>
      <protection hidden="1"/>
    </xf>
    <xf numFmtId="177" fontId="6" fillId="0" borderId="3" xfId="1" applyNumberFormat="1" applyFont="1" applyBorder="1" applyAlignment="1" applyProtection="1">
      <alignment horizontal="center"/>
      <protection hidden="1"/>
    </xf>
    <xf numFmtId="177" fontId="6" fillId="0" borderId="4" xfId="1" applyNumberFormat="1" applyFont="1" applyBorder="1" applyAlignment="1" applyProtection="1">
      <alignment horizontal="center"/>
      <protection hidden="1"/>
    </xf>
    <xf numFmtId="0" fontId="8" fillId="2" borderId="0" xfId="0" applyFont="1" applyFill="1" applyAlignment="1" applyProtection="1">
      <alignment horizontal="left"/>
      <protection hidden="1"/>
    </xf>
    <xf numFmtId="0" fontId="11" fillId="2" borderId="0" xfId="0" applyFont="1" applyFill="1" applyAlignment="1" applyProtection="1">
      <alignment horizontal="center"/>
      <protection hidden="1"/>
    </xf>
    <xf numFmtId="0" fontId="6" fillId="0" borderId="6" xfId="0" applyFont="1" applyBorder="1" applyAlignment="1" applyProtection="1">
      <alignment horizontal="center"/>
      <protection hidden="1"/>
    </xf>
    <xf numFmtId="4" fontId="8" fillId="3" borderId="6" xfId="0" applyNumberFormat="1" applyFont="1" applyFill="1" applyBorder="1" applyAlignment="1" applyProtection="1">
      <alignment horizontal="center"/>
      <protection locked="0" hidden="1"/>
    </xf>
    <xf numFmtId="177" fontId="8" fillId="0" borderId="6" xfId="0" applyNumberFormat="1" applyFont="1" applyBorder="1" applyAlignment="1" applyProtection="1">
      <alignment horizontal="center"/>
      <protection hidden="1"/>
    </xf>
    <xf numFmtId="0" fontId="6" fillId="3" borderId="6" xfId="0" applyFont="1" applyFill="1" applyBorder="1" applyAlignment="1" applyProtection="1">
      <alignment horizontal="center"/>
      <protection locked="0" hidden="1"/>
    </xf>
    <xf numFmtId="0" fontId="14" fillId="3" borderId="6" xfId="0" applyFont="1" applyFill="1" applyBorder="1" applyAlignment="1" applyProtection="1">
      <alignment horizontal="center"/>
      <protection locked="0" hidden="1"/>
    </xf>
    <xf numFmtId="0" fontId="13" fillId="3" borderId="6" xfId="0" applyFont="1" applyFill="1" applyBorder="1" applyAlignment="1" applyProtection="1">
      <alignment horizontal="center" wrapText="1"/>
      <protection locked="0" hidden="1"/>
    </xf>
    <xf numFmtId="0" fontId="6" fillId="2" borderId="2" xfId="0" applyFont="1" applyFill="1" applyBorder="1" applyAlignment="1" applyProtection="1">
      <alignment horizontal="center"/>
      <protection hidden="1"/>
    </xf>
    <xf numFmtId="0" fontId="6" fillId="2" borderId="4" xfId="0" applyFont="1" applyFill="1" applyBorder="1" applyAlignment="1" applyProtection="1">
      <alignment horizontal="center"/>
      <protection hidden="1"/>
    </xf>
    <xf numFmtId="0" fontId="6" fillId="2" borderId="6" xfId="0" applyFont="1" applyFill="1" applyBorder="1" applyAlignment="1" applyProtection="1">
      <alignment horizontal="center"/>
      <protection hidden="1"/>
    </xf>
    <xf numFmtId="0" fontId="6" fillId="2" borderId="3" xfId="0" applyFont="1" applyFill="1" applyBorder="1" applyAlignment="1" applyProtection="1">
      <alignment horizontal="center"/>
      <protection hidden="1"/>
    </xf>
    <xf numFmtId="0" fontId="6" fillId="0" borderId="6" xfId="0" applyFont="1" applyBorder="1" applyAlignment="1" applyProtection="1">
      <alignment horizontal="center" vertical="center"/>
      <protection hidden="1"/>
    </xf>
    <xf numFmtId="4" fontId="8" fillId="3" borderId="6" xfId="0" applyNumberFormat="1" applyFont="1" applyFill="1" applyBorder="1" applyAlignment="1" applyProtection="1">
      <alignment horizontal="center" vertical="center"/>
      <protection locked="0" hidden="1"/>
    </xf>
    <xf numFmtId="177" fontId="8" fillId="0" borderId="6" xfId="0" applyNumberFormat="1" applyFont="1" applyBorder="1" applyAlignment="1" applyProtection="1">
      <alignment horizontal="center" vertical="center"/>
      <protection hidden="1"/>
    </xf>
    <xf numFmtId="9" fontId="6" fillId="0" borderId="6" xfId="1" applyFont="1" applyBorder="1" applyAlignment="1" applyProtection="1">
      <alignment horizontal="center" vertical="center"/>
      <protection hidden="1"/>
    </xf>
    <xf numFmtId="0" fontId="6" fillId="2" borderId="7" xfId="0" applyFont="1" applyFill="1" applyBorder="1" applyAlignment="1" applyProtection="1">
      <alignment horizontal="left" vertical="center"/>
      <protection hidden="1"/>
    </xf>
    <xf numFmtId="0" fontId="6" fillId="2" borderId="5" xfId="0" applyFont="1" applyFill="1" applyBorder="1" applyAlignment="1" applyProtection="1">
      <alignment horizontal="left" vertical="center"/>
      <protection hidden="1"/>
    </xf>
    <xf numFmtId="0" fontId="6" fillId="2" borderId="7" xfId="0" applyFont="1" applyFill="1" applyBorder="1" applyAlignment="1" applyProtection="1">
      <alignment horizontal="right"/>
      <protection hidden="1"/>
    </xf>
    <xf numFmtId="0" fontId="6" fillId="2" borderId="5" xfId="0" applyFont="1" applyFill="1" applyBorder="1" applyAlignment="1" applyProtection="1">
      <alignment horizontal="right"/>
      <protection hidden="1"/>
    </xf>
    <xf numFmtId="177" fontId="8" fillId="0" borderId="2" xfId="0" applyNumberFormat="1" applyFont="1" applyBorder="1" applyAlignment="1" applyProtection="1">
      <alignment horizontal="center"/>
      <protection hidden="1"/>
    </xf>
    <xf numFmtId="177" fontId="8" fillId="0" borderId="4" xfId="0" applyNumberFormat="1" applyFont="1" applyBorder="1" applyAlignment="1" applyProtection="1">
      <alignment horizontal="center"/>
      <protection hidden="1"/>
    </xf>
    <xf numFmtId="0" fontId="6" fillId="2" borderId="0" xfId="0" applyFont="1" applyFill="1" applyAlignment="1" applyProtection="1">
      <alignment horizontal="left" vertical="center"/>
      <protection hidden="1"/>
    </xf>
    <xf numFmtId="0" fontId="6" fillId="2" borderId="8" xfId="0" applyFont="1" applyFill="1" applyBorder="1" applyAlignment="1" applyProtection="1">
      <alignment horizontal="left" vertical="center"/>
      <protection hidden="1"/>
    </xf>
    <xf numFmtId="4" fontId="8" fillId="3" borderId="2" xfId="0" applyNumberFormat="1" applyFont="1" applyFill="1" applyBorder="1" applyAlignment="1" applyProtection="1">
      <alignment horizontal="center"/>
      <protection locked="0" hidden="1"/>
    </xf>
    <xf numFmtId="4" fontId="8" fillId="3" borderId="4" xfId="0" applyNumberFormat="1" applyFont="1" applyFill="1" applyBorder="1" applyAlignment="1" applyProtection="1">
      <alignment horizontal="center"/>
      <protection locked="0" hidden="1"/>
    </xf>
    <xf numFmtId="176" fontId="8" fillId="3" borderId="6" xfId="0" applyNumberFormat="1" applyFont="1" applyFill="1" applyBorder="1" applyAlignment="1" applyProtection="1">
      <alignment horizontal="center" vertical="center"/>
      <protection locked="0" hidden="1"/>
    </xf>
    <xf numFmtId="0" fontId="6" fillId="2" borderId="6" xfId="0" applyFont="1" applyFill="1" applyBorder="1" applyAlignment="1" applyProtection="1">
      <alignment horizontal="center" vertical="center"/>
      <protection hidden="1"/>
    </xf>
    <xf numFmtId="0" fontId="6" fillId="2" borderId="2" xfId="0" applyFont="1" applyFill="1" applyBorder="1" applyAlignment="1" applyProtection="1">
      <alignment horizontal="center" vertical="center"/>
      <protection hidden="1"/>
    </xf>
    <xf numFmtId="0" fontId="6" fillId="2" borderId="3" xfId="0" applyFont="1" applyFill="1" applyBorder="1" applyAlignment="1" applyProtection="1">
      <alignment horizontal="center" vertical="center"/>
      <protection hidden="1"/>
    </xf>
    <xf numFmtId="0" fontId="6" fillId="2" borderId="4" xfId="0" applyFont="1" applyFill="1" applyBorder="1" applyAlignment="1" applyProtection="1">
      <alignment horizontal="center" vertical="center"/>
      <protection hidden="1"/>
    </xf>
    <xf numFmtId="9" fontId="6" fillId="2" borderId="6" xfId="0" applyNumberFormat="1" applyFont="1" applyFill="1" applyBorder="1" applyAlignment="1" applyProtection="1">
      <alignment horizontal="center" vertical="center"/>
      <protection hidden="1"/>
    </xf>
    <xf numFmtId="0" fontId="3" fillId="2" borderId="1" xfId="0" applyFont="1" applyFill="1" applyBorder="1" applyAlignment="1" applyProtection="1">
      <alignment horizontal="right"/>
      <protection hidden="1"/>
    </xf>
    <xf numFmtId="0" fontId="4" fillId="2" borderId="1" xfId="0" applyFont="1" applyFill="1" applyBorder="1" applyAlignment="1" applyProtection="1">
      <alignment horizontal="right"/>
      <protection hidden="1"/>
    </xf>
    <xf numFmtId="0" fontId="5" fillId="2" borderId="0" xfId="0" applyFont="1" applyFill="1" applyAlignment="1" applyProtection="1">
      <alignment horizontal="center"/>
      <protection hidden="1"/>
    </xf>
    <xf numFmtId="0" fontId="6" fillId="3" borderId="2" xfId="0" applyFont="1" applyFill="1" applyBorder="1" applyAlignment="1" applyProtection="1">
      <alignment horizontal="center" vertical="center"/>
      <protection locked="0" hidden="1"/>
    </xf>
    <xf numFmtId="0" fontId="6" fillId="3" borderId="3" xfId="0" applyFont="1" applyFill="1" applyBorder="1" applyAlignment="1" applyProtection="1">
      <alignment horizontal="center" vertical="center"/>
      <protection locked="0" hidden="1"/>
    </xf>
    <xf numFmtId="0" fontId="6" fillId="3" borderId="4" xfId="0" applyFont="1" applyFill="1" applyBorder="1" applyAlignment="1" applyProtection="1">
      <alignment horizontal="center" vertical="center"/>
      <protection locked="0" hidden="1"/>
    </xf>
    <xf numFmtId="0" fontId="6" fillId="3" borderId="2" xfId="0" applyFont="1" applyFill="1" applyBorder="1" applyAlignment="1" applyProtection="1">
      <alignment horizontal="center"/>
      <protection locked="0" hidden="1"/>
    </xf>
    <xf numFmtId="0" fontId="6" fillId="3" borderId="4" xfId="0" applyFont="1" applyFill="1" applyBorder="1" applyAlignment="1" applyProtection="1">
      <alignment horizontal="center"/>
      <protection locked="0" hidden="1"/>
    </xf>
    <xf numFmtId="0" fontId="6" fillId="3" borderId="5" xfId="0" applyFont="1" applyFill="1" applyBorder="1" applyAlignment="1" applyProtection="1">
      <alignment horizontal="center" vertical="center"/>
      <protection locked="0" hidden="1"/>
    </xf>
    <xf numFmtId="0" fontId="7" fillId="3" borderId="2" xfId="0" applyFont="1" applyFill="1" applyBorder="1" applyAlignment="1" applyProtection="1">
      <alignment horizontal="center"/>
      <protection locked="0" hidden="1"/>
    </xf>
    <xf numFmtId="0" fontId="7" fillId="3" borderId="4" xfId="0" applyFont="1" applyFill="1" applyBorder="1" applyAlignment="1" applyProtection="1">
      <alignment horizontal="center"/>
      <protection locked="0" hidden="1"/>
    </xf>
    <xf numFmtId="0" fontId="6" fillId="3" borderId="2" xfId="0" applyFont="1" applyFill="1" applyBorder="1" applyAlignment="1" applyProtection="1">
      <alignment horizontal="center" vertical="center" wrapText="1"/>
      <protection locked="0" hidden="1"/>
    </xf>
    <xf numFmtId="0" fontId="6" fillId="3" borderId="3" xfId="0" applyFont="1" applyFill="1" applyBorder="1" applyAlignment="1" applyProtection="1">
      <alignment horizontal="center" vertical="center" wrapText="1"/>
      <protection locked="0" hidden="1"/>
    </xf>
    <xf numFmtId="0" fontId="6" fillId="3" borderId="4" xfId="0" applyFont="1" applyFill="1" applyBorder="1" applyAlignment="1" applyProtection="1">
      <alignment horizontal="center" vertical="center" wrapText="1"/>
      <protection locked="0" hidden="1"/>
    </xf>
  </cellXfs>
  <cellStyles count="3">
    <cellStyle name="Percent 2" xfId="2" xr:uid="{00000000-0005-0000-0000-000002000000}"/>
    <cellStyle name="常规" xfId="0" builtinId="0"/>
    <cellStyle name="百分比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4</xdr:row>
      <xdr:rowOff>28575</xdr:rowOff>
    </xdr:from>
    <xdr:to>
      <xdr:col>12</xdr:col>
      <xdr:colOff>0</xdr:colOff>
      <xdr:row>4</xdr:row>
      <xdr:rowOff>28575</xdr:rowOff>
    </xdr:to>
    <xdr:sp macro="" textlink="">
      <xdr:nvSpPr>
        <xdr:cNvPr id="2" name="Line 2">
          <a:extLst>
            <a:ext uri="{FF2B5EF4-FFF2-40B4-BE49-F238E27FC236}">
              <a16:creationId xmlns:a16="http://schemas.microsoft.com/office/drawing/2014/main" id="{AF612EDC-E7DE-4034-9FF7-57E89B99D3B1}"/>
            </a:ext>
          </a:extLst>
        </xdr:cNvPr>
        <xdr:cNvSpPr>
          <a:spLocks noChangeShapeType="1"/>
        </xdr:cNvSpPr>
      </xdr:nvSpPr>
      <xdr:spPr bwMode="auto">
        <a:xfrm>
          <a:off x="28575" y="752475"/>
          <a:ext cx="89820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171450</xdr:colOff>
      <xdr:row>2</xdr:row>
      <xdr:rowOff>133350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A23D325A-098F-4227-9BC6-B980FCEB90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790700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eckers-my.sharepoint.com/Users/Administrator/Desktop/BB%20TEV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lank CoC"/>
      <sheetName val="đen"/>
      <sheetName val="SIERRA BUCK BLACK 17.10"/>
      <sheetName val="SIERRA BUCK BLACK 27.10"/>
      <sheetName val="19-0516TPG"/>
      <sheetName val="NAU GAN BO"/>
      <sheetName val="Sheet2"/>
      <sheetName val="Nâu dẻ đỏ"/>
      <sheetName val="đen 9.11"/>
      <sheetName val="trám đen"/>
      <sheetName val="den 20.11"/>
      <sheetName val="17-1044TPG 11-20.11"/>
      <sheetName val="17-1044TPG 10.12"/>
      <sheetName val="MOOMOO 18.11"/>
      <sheetName val="19-0812tpg 30.11"/>
      <sheetName val="BLACK 17.12"/>
      <sheetName val="FORM MO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39997558519241921"/>
  </sheetPr>
  <dimension ref="B1:S43"/>
  <sheetViews>
    <sheetView tabSelected="1" topLeftCell="A13" zoomScaleNormal="100" workbookViewId="0">
      <selection activeCell="X26" sqref="X26"/>
    </sheetView>
  </sheetViews>
  <sheetFormatPr defaultColWidth="9" defaultRowHeight="12.75"/>
  <cols>
    <col min="1" max="1" width="0.140625" style="2" customWidth="1"/>
    <col min="2" max="2" width="14.5703125" style="2" customWidth="1"/>
    <col min="3" max="3" width="9.5703125" style="2" customWidth="1"/>
    <col min="4" max="4" width="9" style="2" customWidth="1"/>
    <col min="5" max="5" width="11.5703125" style="2" customWidth="1"/>
    <col min="6" max="6" width="9" style="2" customWidth="1"/>
    <col min="7" max="7" width="14.5703125" style="2" customWidth="1"/>
    <col min="8" max="8" width="9" style="2" customWidth="1"/>
    <col min="9" max="9" width="11.42578125" style="2" customWidth="1"/>
    <col min="10" max="10" width="14.42578125" style="2" customWidth="1"/>
    <col min="11" max="11" width="14" style="2" customWidth="1"/>
    <col min="12" max="12" width="17.85546875" style="2" customWidth="1"/>
    <col min="13" max="13" width="1" style="2" customWidth="1"/>
    <col min="14" max="14" width="7.28515625" style="3" hidden="1" customWidth="1"/>
    <col min="15" max="15" width="12.28515625" style="4" hidden="1" customWidth="1"/>
    <col min="16" max="16" width="13" style="4" hidden="1" customWidth="1"/>
    <col min="17" max="17" width="7" style="4" hidden="1" customWidth="1"/>
    <col min="18" max="18" width="10" style="4" hidden="1" customWidth="1"/>
    <col min="19" max="19" width="12.42578125" style="4" hidden="1" customWidth="1"/>
    <col min="20" max="16384" width="9" style="2"/>
  </cols>
  <sheetData>
    <row r="1" spans="2:19"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2:19" ht="18">
      <c r="B2" s="1"/>
      <c r="C2" s="1"/>
      <c r="D2" s="1"/>
      <c r="E2" s="1"/>
      <c r="F2" s="44"/>
      <c r="G2" s="44"/>
      <c r="H2" s="44"/>
      <c r="I2" s="1"/>
      <c r="J2" s="1"/>
      <c r="K2" s="1"/>
      <c r="L2" s="1"/>
    </row>
    <row r="3" spans="2:19" ht="15.75" customHeight="1" thickBot="1">
      <c r="B3" s="90" t="s">
        <v>0</v>
      </c>
      <c r="C3" s="90"/>
      <c r="D3" s="90"/>
      <c r="E3" s="90"/>
      <c r="F3" s="90"/>
      <c r="G3" s="90"/>
      <c r="H3" s="90"/>
      <c r="I3" s="90"/>
      <c r="J3" s="90"/>
      <c r="K3" s="90"/>
      <c r="L3" s="90"/>
    </row>
    <row r="4" spans="2:19" ht="15.75" customHeight="1" thickTop="1" thickBot="1">
      <c r="B4" s="91" t="s">
        <v>1</v>
      </c>
      <c r="C4" s="91"/>
      <c r="D4" s="91"/>
      <c r="E4" s="91"/>
      <c r="F4" s="91"/>
      <c r="G4" s="91"/>
      <c r="H4" s="91"/>
      <c r="I4" s="91"/>
      <c r="J4" s="91"/>
      <c r="K4" s="91"/>
      <c r="L4" s="91"/>
    </row>
    <row r="5" spans="2:19" ht="9.75" customHeight="1" thickTop="1">
      <c r="B5" s="5"/>
      <c r="C5" s="5"/>
      <c r="D5" s="5"/>
      <c r="E5" s="5"/>
      <c r="F5" s="5"/>
      <c r="G5" s="5"/>
      <c r="H5" s="5"/>
      <c r="I5" s="5"/>
      <c r="J5" s="5"/>
      <c r="K5" s="5"/>
      <c r="L5" s="5"/>
    </row>
    <row r="6" spans="2:19" ht="14.25" customHeight="1">
      <c r="B6" s="92" t="s">
        <v>2</v>
      </c>
      <c r="C6" s="92"/>
      <c r="D6" s="92"/>
      <c r="E6" s="92"/>
      <c r="F6" s="92"/>
      <c r="G6" s="92"/>
      <c r="H6" s="92"/>
      <c r="I6" s="92"/>
      <c r="J6" s="92"/>
      <c r="K6" s="92"/>
      <c r="L6" s="92"/>
    </row>
    <row r="7" spans="2:19" ht="15" customHeight="1">
      <c r="B7" s="92" t="s">
        <v>3</v>
      </c>
      <c r="C7" s="92"/>
      <c r="D7" s="92"/>
      <c r="E7" s="92"/>
      <c r="F7" s="92"/>
      <c r="G7" s="92"/>
      <c r="H7" s="92"/>
      <c r="I7" s="92"/>
      <c r="J7" s="92"/>
      <c r="K7" s="92"/>
      <c r="L7" s="92"/>
    </row>
    <row r="8" spans="2:19" ht="5.25" customHeight="1"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spans="2:19" ht="21" customHeight="1">
      <c r="B9" s="6" t="s">
        <v>4</v>
      </c>
      <c r="C9" s="93" t="s">
        <v>45</v>
      </c>
      <c r="D9" s="94"/>
      <c r="E9" s="94"/>
      <c r="F9" s="95"/>
      <c r="G9" s="6"/>
      <c r="H9" s="6" t="s">
        <v>5</v>
      </c>
      <c r="I9" s="6"/>
      <c r="J9" s="6"/>
      <c r="K9" s="96"/>
      <c r="L9" s="97"/>
      <c r="M9" s="7"/>
    </row>
    <row r="10" spans="2:19" ht="21" customHeight="1">
      <c r="B10" s="6" t="s">
        <v>6</v>
      </c>
      <c r="C10" s="93"/>
      <c r="D10" s="94"/>
      <c r="E10" s="94"/>
      <c r="F10" s="98"/>
      <c r="G10" s="6"/>
      <c r="H10" s="6" t="s">
        <v>7</v>
      </c>
      <c r="I10" s="6"/>
      <c r="J10" s="6"/>
      <c r="K10" s="96"/>
      <c r="L10" s="97"/>
      <c r="M10" s="7"/>
    </row>
    <row r="11" spans="2:19" ht="21" customHeight="1">
      <c r="B11" s="8"/>
      <c r="C11" s="8"/>
      <c r="D11" s="8"/>
      <c r="E11" s="9" t="s">
        <v>8</v>
      </c>
      <c r="F11" s="93"/>
      <c r="G11" s="95"/>
      <c r="H11" s="6" t="s">
        <v>9</v>
      </c>
      <c r="I11" s="8"/>
      <c r="J11" s="8"/>
      <c r="K11" s="99"/>
      <c r="L11" s="100"/>
      <c r="M11" s="7"/>
    </row>
    <row r="12" spans="2:19" ht="36" customHeight="1">
      <c r="B12" s="6" t="s">
        <v>10</v>
      </c>
      <c r="C12" s="10"/>
      <c r="D12" s="11"/>
      <c r="E12" s="12"/>
      <c r="F12" s="13" t="s">
        <v>11</v>
      </c>
      <c r="G12" s="101"/>
      <c r="H12" s="102"/>
      <c r="I12" s="102"/>
      <c r="J12" s="103"/>
      <c r="K12" s="13" t="s">
        <v>12</v>
      </c>
      <c r="L12" s="14"/>
      <c r="M12" s="7"/>
    </row>
    <row r="13" spans="2:19" ht="22.5" customHeight="1">
      <c r="B13" s="8"/>
      <c r="C13" s="8"/>
      <c r="D13" s="8"/>
      <c r="E13" s="8"/>
      <c r="F13" s="6"/>
      <c r="G13" s="6"/>
      <c r="H13" s="6"/>
      <c r="I13" s="8"/>
      <c r="J13" s="8"/>
      <c r="K13" s="15" t="s">
        <v>13</v>
      </c>
      <c r="L13" s="14"/>
      <c r="M13" s="7"/>
    </row>
    <row r="14" spans="2:19" ht="18.75"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7"/>
    </row>
    <row r="15" spans="2:19" s="22" customFormat="1" ht="18.75">
      <c r="B15" s="16" t="s">
        <v>14</v>
      </c>
      <c r="C15" s="16"/>
      <c r="D15" s="16"/>
      <c r="E15" s="16"/>
      <c r="F15" s="6"/>
      <c r="G15" s="6"/>
      <c r="H15" s="6"/>
      <c r="I15" s="6"/>
      <c r="J15" s="16"/>
      <c r="K15" s="17"/>
      <c r="L15" s="18"/>
      <c r="M15" s="19"/>
      <c r="N15" s="20"/>
      <c r="O15" s="21"/>
      <c r="P15" s="21"/>
      <c r="Q15" s="21"/>
      <c r="R15" s="21"/>
      <c r="S15" s="21"/>
    </row>
    <row r="16" spans="2:19" s="24" customFormat="1" ht="23.25" customHeight="1">
      <c r="B16" s="59" t="s">
        <v>15</v>
      </c>
      <c r="C16" s="59"/>
      <c r="D16" s="59"/>
      <c r="E16" s="59"/>
      <c r="F16" s="59"/>
      <c r="G16" s="59"/>
      <c r="H16" s="59" t="s">
        <v>16</v>
      </c>
      <c r="I16" s="59"/>
      <c r="J16" s="59"/>
      <c r="K16" s="59"/>
      <c r="L16" s="59"/>
      <c r="M16" s="19"/>
      <c r="N16" s="23"/>
      <c r="O16" s="21"/>
      <c r="P16" s="21"/>
      <c r="Q16" s="21"/>
      <c r="R16" s="21"/>
      <c r="S16" s="21"/>
    </row>
    <row r="17" spans="2:13" ht="27" customHeight="1">
      <c r="B17" s="85" t="s">
        <v>17</v>
      </c>
      <c r="C17" s="85"/>
      <c r="D17" s="85" t="s">
        <v>18</v>
      </c>
      <c r="E17" s="85"/>
      <c r="F17" s="85" t="s">
        <v>19</v>
      </c>
      <c r="G17" s="85"/>
      <c r="H17" s="85" t="s">
        <v>20</v>
      </c>
      <c r="I17" s="85"/>
      <c r="J17" s="86" t="s">
        <v>21</v>
      </c>
      <c r="K17" s="87"/>
      <c r="L17" s="88"/>
      <c r="M17" s="7"/>
    </row>
    <row r="18" spans="2:13" ht="20.100000000000001" customHeight="1">
      <c r="B18" s="70" t="s">
        <v>22</v>
      </c>
      <c r="C18" s="70"/>
      <c r="D18" s="84"/>
      <c r="E18" s="84"/>
      <c r="F18" s="72" t="str">
        <f t="shared" ref="F18:F23" si="0">IF(D18="","",(D18/$D$24))</f>
        <v/>
      </c>
      <c r="G18" s="72"/>
      <c r="H18" s="89">
        <v>1</v>
      </c>
      <c r="I18" s="85"/>
      <c r="J18" s="73" t="str">
        <f>IF(D18="","",(F18*H18))</f>
        <v/>
      </c>
      <c r="K18" s="73"/>
      <c r="L18" s="73"/>
      <c r="M18" s="7"/>
    </row>
    <row r="19" spans="2:13" ht="20.100000000000001" customHeight="1">
      <c r="B19" s="70" t="s">
        <v>23</v>
      </c>
      <c r="C19" s="70"/>
      <c r="D19" s="84"/>
      <c r="E19" s="84"/>
      <c r="F19" s="72" t="str">
        <f t="shared" si="0"/>
        <v/>
      </c>
      <c r="G19" s="72"/>
      <c r="H19" s="73">
        <v>0.93</v>
      </c>
      <c r="I19" s="73"/>
      <c r="J19" s="73" t="str">
        <f t="shared" ref="J19:J23" si="1">IF(D19="","",(F19*H19))</f>
        <v/>
      </c>
      <c r="K19" s="73"/>
      <c r="L19" s="73"/>
      <c r="M19" s="7"/>
    </row>
    <row r="20" spans="2:13" ht="20.100000000000001" customHeight="1">
      <c r="B20" s="70" t="s">
        <v>24</v>
      </c>
      <c r="C20" s="70"/>
      <c r="D20" s="84"/>
      <c r="E20" s="84"/>
      <c r="F20" s="72" t="str">
        <f t="shared" si="0"/>
        <v/>
      </c>
      <c r="G20" s="72"/>
      <c r="H20" s="73">
        <v>0.88</v>
      </c>
      <c r="I20" s="73"/>
      <c r="J20" s="73" t="str">
        <f>IF(D20="","",(F20*H20))</f>
        <v/>
      </c>
      <c r="K20" s="73"/>
      <c r="L20" s="73"/>
      <c r="M20" s="7"/>
    </row>
    <row r="21" spans="2:13" ht="20.100000000000001" customHeight="1">
      <c r="B21" s="70" t="s">
        <v>25</v>
      </c>
      <c r="C21" s="70"/>
      <c r="D21" s="71"/>
      <c r="E21" s="71"/>
      <c r="F21" s="72" t="str">
        <f t="shared" si="0"/>
        <v/>
      </c>
      <c r="G21" s="72"/>
      <c r="H21" s="73">
        <v>0.83</v>
      </c>
      <c r="I21" s="73"/>
      <c r="J21" s="73" t="str">
        <f t="shared" si="1"/>
        <v/>
      </c>
      <c r="K21" s="73"/>
      <c r="L21" s="73"/>
      <c r="M21" s="7"/>
    </row>
    <row r="22" spans="2:13" ht="20.100000000000001" customHeight="1">
      <c r="B22" s="70" t="s">
        <v>26</v>
      </c>
      <c r="C22" s="70"/>
      <c r="D22" s="71"/>
      <c r="E22" s="71"/>
      <c r="F22" s="72" t="str">
        <f t="shared" si="0"/>
        <v/>
      </c>
      <c r="G22" s="72"/>
      <c r="H22" s="73">
        <v>0.78</v>
      </c>
      <c r="I22" s="73"/>
      <c r="J22" s="73" t="str">
        <f t="shared" si="1"/>
        <v/>
      </c>
      <c r="K22" s="73"/>
      <c r="L22" s="73"/>
      <c r="M22" s="7"/>
    </row>
    <row r="23" spans="2:13" ht="20.100000000000001" customHeight="1">
      <c r="B23" s="70" t="s">
        <v>27</v>
      </c>
      <c r="C23" s="70"/>
      <c r="D23" s="71"/>
      <c r="E23" s="71"/>
      <c r="F23" s="72" t="str">
        <f t="shared" si="0"/>
        <v/>
      </c>
      <c r="G23" s="72"/>
      <c r="H23" s="73">
        <v>0.73</v>
      </c>
      <c r="I23" s="73"/>
      <c r="J23" s="73" t="str">
        <f t="shared" si="1"/>
        <v/>
      </c>
      <c r="K23" s="73"/>
      <c r="L23" s="73"/>
      <c r="M23" s="7"/>
    </row>
    <row r="24" spans="2:13" ht="20.100000000000001" customHeight="1">
      <c r="B24" s="74" t="s">
        <v>28</v>
      </c>
      <c r="C24" s="75"/>
      <c r="D24" s="53">
        <f>SUM(D18:E23)</f>
        <v>0</v>
      </c>
      <c r="E24" s="54"/>
      <c r="F24" s="6"/>
      <c r="G24" s="76" t="s">
        <v>29</v>
      </c>
      <c r="H24" s="76"/>
      <c r="I24" s="76"/>
      <c r="J24" s="77"/>
      <c r="K24" s="78">
        <f>SUM(J18:L23)</f>
        <v>0</v>
      </c>
      <c r="L24" s="79"/>
      <c r="M24" s="7"/>
    </row>
    <row r="25" spans="2:13" ht="20.100000000000001" customHeight="1">
      <c r="B25" s="80" t="s">
        <v>30</v>
      </c>
      <c r="C25" s="81"/>
      <c r="D25" s="82">
        <v>0</v>
      </c>
      <c r="E25" s="83"/>
      <c r="F25" s="6"/>
      <c r="G25" s="25"/>
      <c r="H25" s="25"/>
      <c r="I25" s="25"/>
      <c r="J25" s="25"/>
      <c r="K25" s="62"/>
      <c r="L25" s="62"/>
      <c r="M25" s="7"/>
    </row>
    <row r="26" spans="2:13" ht="20.100000000000001" customHeight="1">
      <c r="B26" s="80" t="s">
        <v>31</v>
      </c>
      <c r="C26" s="81"/>
      <c r="D26" s="53">
        <f>+SUM(D24:E25)</f>
        <v>0</v>
      </c>
      <c r="E26" s="54"/>
      <c r="F26" s="6"/>
      <c r="G26" s="6"/>
      <c r="H26" s="6"/>
      <c r="I26" s="6"/>
      <c r="J26" s="26"/>
      <c r="K26" s="27"/>
      <c r="L26" s="27"/>
      <c r="M26" s="7"/>
    </row>
    <row r="27" spans="2:13" ht="15" customHeight="1">
      <c r="B27" s="6"/>
      <c r="C27" s="9"/>
      <c r="D27" s="28"/>
      <c r="E27" s="28"/>
      <c r="F27" s="6"/>
      <c r="G27" s="6"/>
      <c r="H27" s="6"/>
      <c r="I27" s="6"/>
      <c r="J27" s="26"/>
      <c r="K27" s="27"/>
      <c r="L27" s="27"/>
      <c r="M27" s="7"/>
    </row>
    <row r="28" spans="2:13" ht="15" customHeight="1">
      <c r="B28" s="16" t="s">
        <v>32</v>
      </c>
      <c r="C28" s="9"/>
      <c r="D28" s="8"/>
      <c r="E28" s="6"/>
      <c r="F28" s="6"/>
      <c r="G28" s="6"/>
      <c r="H28" s="6"/>
      <c r="I28" s="6"/>
      <c r="J28" s="26"/>
      <c r="K28" s="27"/>
      <c r="L28" s="27"/>
      <c r="M28" s="7"/>
    </row>
    <row r="29" spans="2:13" ht="15" customHeight="1">
      <c r="B29" s="16"/>
      <c r="C29" s="9"/>
      <c r="D29" s="8"/>
      <c r="E29" s="6"/>
      <c r="F29" s="6"/>
      <c r="G29" s="6"/>
      <c r="H29" s="6"/>
      <c r="I29" s="6"/>
      <c r="J29" s="26"/>
      <c r="K29" s="27"/>
      <c r="L29" s="27"/>
      <c r="M29" s="7"/>
    </row>
    <row r="30" spans="2:13" ht="20.100000000000001" customHeight="1">
      <c r="B30" s="66" t="s">
        <v>33</v>
      </c>
      <c r="C30" s="67"/>
      <c r="D30" s="68" t="s">
        <v>18</v>
      </c>
      <c r="E30" s="68"/>
      <c r="F30" s="68" t="s">
        <v>19</v>
      </c>
      <c r="G30" s="68"/>
      <c r="H30" s="66" t="s">
        <v>34</v>
      </c>
      <c r="I30" s="69"/>
      <c r="J30" s="69"/>
      <c r="K30" s="67"/>
      <c r="L30" s="27"/>
      <c r="M30" s="7"/>
    </row>
    <row r="31" spans="2:13" ht="20.100000000000001" customHeight="1">
      <c r="B31" s="60" t="s">
        <v>35</v>
      </c>
      <c r="C31" s="60"/>
      <c r="D31" s="61"/>
      <c r="E31" s="61"/>
      <c r="F31" s="62" t="str">
        <f>IF(D31="","",(D31/$D$35))</f>
        <v/>
      </c>
      <c r="G31" s="62"/>
      <c r="H31" s="65"/>
      <c r="I31" s="63"/>
      <c r="J31" s="63"/>
      <c r="K31" s="63"/>
      <c r="L31" s="27"/>
      <c r="M31" s="7"/>
    </row>
    <row r="32" spans="2:13" ht="20.100000000000001" customHeight="1">
      <c r="B32" s="60" t="s">
        <v>36</v>
      </c>
      <c r="C32" s="60"/>
      <c r="D32" s="61"/>
      <c r="E32" s="61"/>
      <c r="F32" s="62" t="str">
        <f>IF(D32="","",(D32/$D$35))</f>
        <v/>
      </c>
      <c r="G32" s="62"/>
      <c r="H32" s="63" t="s">
        <v>37</v>
      </c>
      <c r="I32" s="63"/>
      <c r="J32" s="63"/>
      <c r="K32" s="63"/>
      <c r="L32" s="27"/>
      <c r="M32" s="7"/>
    </row>
    <row r="33" spans="2:19" ht="20.100000000000001" customHeight="1">
      <c r="B33" s="60" t="s">
        <v>38</v>
      </c>
      <c r="C33" s="60"/>
      <c r="D33" s="61"/>
      <c r="E33" s="61"/>
      <c r="F33" s="62" t="str">
        <f>IF(D33="","",(D33/$D$35))</f>
        <v/>
      </c>
      <c r="G33" s="62"/>
      <c r="H33" s="63"/>
      <c r="I33" s="63"/>
      <c r="J33" s="63"/>
      <c r="K33" s="63"/>
      <c r="L33" s="27"/>
      <c r="M33" s="7"/>
    </row>
    <row r="34" spans="2:19" ht="20.100000000000001" customHeight="1">
      <c r="B34" s="60" t="s">
        <v>39</v>
      </c>
      <c r="C34" s="60"/>
      <c r="D34" s="61"/>
      <c r="E34" s="61"/>
      <c r="F34" s="62" t="str">
        <f>IF(D34="","",(D34/$D$35))</f>
        <v/>
      </c>
      <c r="G34" s="62"/>
      <c r="H34" s="64"/>
      <c r="I34" s="63"/>
      <c r="J34" s="63"/>
      <c r="K34" s="63"/>
      <c r="L34" s="27"/>
      <c r="M34" s="7"/>
    </row>
    <row r="35" spans="2:19" ht="20.100000000000001" customHeight="1">
      <c r="B35" s="6"/>
      <c r="C35" s="9"/>
      <c r="D35" s="53">
        <f>SUM(D31:E34)</f>
        <v>0</v>
      </c>
      <c r="E35" s="54"/>
      <c r="F35" s="6"/>
      <c r="G35" s="6"/>
      <c r="H35" s="6"/>
      <c r="I35" s="6"/>
      <c r="J35" s="29" t="s">
        <v>40</v>
      </c>
      <c r="K35" s="55" t="e">
        <f>D35/D26</f>
        <v>#DIV/0!</v>
      </c>
      <c r="L35" s="56"/>
      <c r="M35" s="57"/>
    </row>
    <row r="36" spans="2:19" ht="15" customHeight="1">
      <c r="B36" s="6"/>
      <c r="C36" s="9"/>
      <c r="D36" s="8"/>
      <c r="E36" s="6"/>
      <c r="F36" s="6"/>
      <c r="G36" s="6"/>
      <c r="H36" s="6"/>
      <c r="I36" s="6"/>
      <c r="J36" s="26"/>
      <c r="K36" s="27"/>
      <c r="L36" s="27"/>
      <c r="M36" s="7"/>
    </row>
    <row r="37" spans="2:19" s="31" customFormat="1" ht="18.75">
      <c r="B37" s="16" t="s">
        <v>41</v>
      </c>
      <c r="C37" s="9"/>
      <c r="D37" s="8"/>
      <c r="E37" s="6"/>
      <c r="F37" s="6"/>
      <c r="G37" s="6"/>
      <c r="H37" s="6"/>
      <c r="I37" s="6"/>
      <c r="J37" s="26"/>
      <c r="K37" s="27"/>
      <c r="L37" s="27"/>
      <c r="M37" s="7"/>
      <c r="N37" s="30"/>
      <c r="O37" s="4"/>
      <c r="P37" s="4"/>
      <c r="Q37" s="4"/>
      <c r="R37" s="4"/>
      <c r="S37" s="4"/>
    </row>
    <row r="38" spans="2:19" s="31" customFormat="1" ht="18.75"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7"/>
      <c r="N38" s="30"/>
      <c r="O38" s="4"/>
      <c r="P38" s="4"/>
      <c r="Q38" s="4"/>
      <c r="R38" s="4"/>
      <c r="S38" s="4"/>
    </row>
    <row r="39" spans="2:19" s="31" customFormat="1" ht="19.5">
      <c r="B39" s="32"/>
      <c r="C39" s="9"/>
      <c r="D39" s="8"/>
      <c r="E39" s="6"/>
      <c r="F39" s="6"/>
      <c r="G39" s="6"/>
      <c r="H39" s="6"/>
      <c r="I39" s="6"/>
      <c r="J39" s="26"/>
      <c r="K39" s="27"/>
      <c r="L39" s="27"/>
      <c r="M39" s="7"/>
      <c r="N39" s="30"/>
      <c r="O39" s="4"/>
      <c r="P39" s="4"/>
      <c r="Q39" s="4"/>
      <c r="R39" s="4"/>
      <c r="S39" s="4"/>
    </row>
    <row r="40" spans="2:19" s="31" customFormat="1" ht="18.75">
      <c r="B40" s="33"/>
      <c r="C40" s="33"/>
      <c r="D40" s="34"/>
      <c r="E40" s="34"/>
      <c r="F40" s="59"/>
      <c r="G40" s="59"/>
      <c r="H40" s="59"/>
      <c r="I40" s="59"/>
      <c r="J40" s="59"/>
      <c r="K40" s="59"/>
      <c r="L40" s="59"/>
      <c r="M40" s="7"/>
      <c r="N40" s="45" t="s">
        <v>42</v>
      </c>
      <c r="O40" s="46"/>
      <c r="P40" s="46"/>
      <c r="Q40" s="46"/>
      <c r="R40" s="46"/>
      <c r="S40" s="47"/>
    </row>
    <row r="41" spans="2:19" ht="5.25" customHeight="1"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7"/>
    </row>
    <row r="42" spans="2:19" s="36" customFormat="1" ht="18.75">
      <c r="B42" s="6" t="s">
        <v>43</v>
      </c>
      <c r="C42" s="6"/>
      <c r="D42" s="6"/>
      <c r="E42" s="48"/>
      <c r="F42" s="49"/>
      <c r="G42" s="49"/>
      <c r="H42" s="50"/>
      <c r="I42" s="6"/>
      <c r="J42" s="9" t="s">
        <v>44</v>
      </c>
      <c r="K42" s="51"/>
      <c r="L42" s="52"/>
      <c r="M42" s="7"/>
      <c r="N42" s="35"/>
      <c r="O42" s="4"/>
      <c r="P42" s="4"/>
      <c r="Q42" s="4"/>
      <c r="R42" s="4"/>
      <c r="S42" s="4"/>
    </row>
    <row r="43" spans="2:19" s="41" customFormat="1" ht="32.25" customHeight="1">
      <c r="B43" s="37"/>
      <c r="C43" s="38"/>
      <c r="D43" s="39"/>
      <c r="E43" s="39"/>
      <c r="F43" s="39"/>
      <c r="G43" s="39"/>
      <c r="H43" s="39"/>
      <c r="I43" s="40"/>
      <c r="J43" s="40"/>
      <c r="K43" s="40"/>
      <c r="L43" s="40"/>
      <c r="N43" s="42"/>
      <c r="O43" s="43"/>
      <c r="P43" s="43"/>
      <c r="Q43" s="43"/>
      <c r="R43" s="43"/>
      <c r="S43" s="43"/>
    </row>
  </sheetData>
  <mergeCells count="86">
    <mergeCell ref="B16:G16"/>
    <mergeCell ref="H16:L16"/>
    <mergeCell ref="B3:L3"/>
    <mergeCell ref="B4:L4"/>
    <mergeCell ref="B6:L6"/>
    <mergeCell ref="B7:L7"/>
    <mergeCell ref="C9:F9"/>
    <mergeCell ref="K9:L9"/>
    <mergeCell ref="C10:F10"/>
    <mergeCell ref="K10:L10"/>
    <mergeCell ref="F11:G11"/>
    <mergeCell ref="K11:L11"/>
    <mergeCell ref="G12:J12"/>
    <mergeCell ref="B18:C18"/>
    <mergeCell ref="D18:E18"/>
    <mergeCell ref="F18:G18"/>
    <mergeCell ref="H18:I18"/>
    <mergeCell ref="J18:L18"/>
    <mergeCell ref="B17:C17"/>
    <mergeCell ref="D17:E17"/>
    <mergeCell ref="F17:G17"/>
    <mergeCell ref="H17:I17"/>
    <mergeCell ref="J17:L17"/>
    <mergeCell ref="B20:C20"/>
    <mergeCell ref="D20:E20"/>
    <mergeCell ref="F20:G20"/>
    <mergeCell ref="H20:I20"/>
    <mergeCell ref="J20:L20"/>
    <mergeCell ref="B19:C19"/>
    <mergeCell ref="D19:E19"/>
    <mergeCell ref="F19:G19"/>
    <mergeCell ref="H19:I19"/>
    <mergeCell ref="J19:L19"/>
    <mergeCell ref="H21:I21"/>
    <mergeCell ref="J21:L21"/>
    <mergeCell ref="B22:C22"/>
    <mergeCell ref="D22:E22"/>
    <mergeCell ref="F22:G22"/>
    <mergeCell ref="H22:I22"/>
    <mergeCell ref="J22:L22"/>
    <mergeCell ref="B26:C26"/>
    <mergeCell ref="D26:E26"/>
    <mergeCell ref="B21:C21"/>
    <mergeCell ref="D21:E21"/>
    <mergeCell ref="F21:G21"/>
    <mergeCell ref="B30:C30"/>
    <mergeCell ref="D30:E30"/>
    <mergeCell ref="F30:G30"/>
    <mergeCell ref="H30:K30"/>
    <mergeCell ref="B23:C23"/>
    <mergeCell ref="D23:E23"/>
    <mergeCell ref="F23:G23"/>
    <mergeCell ref="H23:I23"/>
    <mergeCell ref="J23:L23"/>
    <mergeCell ref="B24:C24"/>
    <mergeCell ref="D24:E24"/>
    <mergeCell ref="G24:J24"/>
    <mergeCell ref="K24:L24"/>
    <mergeCell ref="B25:C25"/>
    <mergeCell ref="D25:E25"/>
    <mergeCell ref="K25:L25"/>
    <mergeCell ref="H31:K31"/>
    <mergeCell ref="B32:C32"/>
    <mergeCell ref="D32:E32"/>
    <mergeCell ref="F32:G32"/>
    <mergeCell ref="H32:K32"/>
    <mergeCell ref="B31:C31"/>
    <mergeCell ref="D31:E31"/>
    <mergeCell ref="F31:G31"/>
    <mergeCell ref="B33:C33"/>
    <mergeCell ref="D33:E33"/>
    <mergeCell ref="F33:G33"/>
    <mergeCell ref="H33:K33"/>
    <mergeCell ref="B34:C34"/>
    <mergeCell ref="D34:E34"/>
    <mergeCell ref="F34:G34"/>
    <mergeCell ref="H34:K34"/>
    <mergeCell ref="N40:S40"/>
    <mergeCell ref="E42:H42"/>
    <mergeCell ref="K42:L42"/>
    <mergeCell ref="D35:E35"/>
    <mergeCell ref="K35:M35"/>
    <mergeCell ref="B38:L38"/>
    <mergeCell ref="F40:G40"/>
    <mergeCell ref="H40:J40"/>
    <mergeCell ref="K40:L40"/>
  </mergeCells>
  <phoneticPr fontId="20" type="noConversion"/>
  <pageMargins left="0.56000000000000005" right="0.17" top="0.75" bottom="0.75" header="0.3" footer="0.3"/>
  <pageSetup scale="7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QC kho1</dc:creator>
  <cp:lastModifiedBy>Administrator</cp:lastModifiedBy>
  <dcterms:created xsi:type="dcterms:W3CDTF">2021-07-27T04:26:48Z</dcterms:created>
  <dcterms:modified xsi:type="dcterms:W3CDTF">2025-11-24T02:38:30Z</dcterms:modified>
</cp:coreProperties>
</file>